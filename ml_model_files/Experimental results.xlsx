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OneDrive\Desktop\"/>
    </mc:Choice>
  </mc:AlternateContent>
  <xr:revisionPtr revIDLastSave="0" documentId="13_ncr:1_{564414AF-5E22-4196-BB8A-6068181E6263}" xr6:coauthVersionLast="45" xr6:coauthVersionMax="45" xr10:uidLastSave="{00000000-0000-0000-0000-000000000000}"/>
  <bookViews>
    <workbookView xWindow="-120" yWindow="-120" windowWidth="20730" windowHeight="11160" xr2:uid="{7B791624-39B3-42A4-9BDB-57DD0C958742}"/>
  </bookViews>
  <sheets>
    <sheet name="Sheet1" sheetId="1" r:id="rId1"/>
  </sheets>
  <definedNames>
    <definedName name="_xlnm.Print_Area" localSheetId="0">Sheet1!$A$1:$N$21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1" i="1" l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<sst xmlns="http://schemas.openxmlformats.org/spreadsheetml/2006/main" count="14" uniqueCount="14">
  <si>
    <t>RunOrder</t>
  </si>
  <si>
    <t>Infill(%)</t>
  </si>
  <si>
    <t>Layer Height (mm)</t>
  </si>
  <si>
    <t>Scale (%)</t>
  </si>
  <si>
    <t>Energy (KWh)</t>
  </si>
  <si>
    <t>Build Time(min)</t>
  </si>
  <si>
    <t>Part Weight (g)</t>
  </si>
  <si>
    <t>Scrap Weight (g)</t>
  </si>
  <si>
    <t>Quality factor</t>
  </si>
  <si>
    <t>Total weight (g)</t>
  </si>
  <si>
    <t>Material Carbon Intensity (kg CO2/KWh)</t>
  </si>
  <si>
    <t>Process Carbon Intensity (kg CO2/KWh)</t>
  </si>
  <si>
    <t>Total CO2 (kg CO2/KWh)</t>
  </si>
  <si>
    <t>Material Energy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</si>
</sst>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CC8D-C5CE-440C-BB14-2893B27BF067}">
  <dimension ref="A1:N21"/>
  <sheetViews>
    <sheetView tabSelected="1" zoomScale="86" zoomScaleNormal="86" workbookViewId="0">
      <selection activeCell="L7" sqref="L7"/>
    </sheetView>
  </sheetViews>
  <sheetFormatPr defaultRowHeight="15" x14ac:dyDescent="0.25"/>
  <cols>
    <col min="1" max="1" width="13.42578125" customWidth="1"/>
    <col min="2" max="2" width="11" customWidth="1"/>
    <col min="3" max="3" width="13.42578125" customWidth="1"/>
    <col min="4" max="4" width="10" customWidth="1"/>
    <col min="5" max="5" width="9.42578125" customWidth="1"/>
    <col min="6" max="6" width="10.42578125" customWidth="1"/>
    <col min="7" max="7" width="12" customWidth="1"/>
    <col min="8" max="8" width="20" customWidth="1"/>
    <col min="9" max="9" width="15.28515625" customWidth="1"/>
    <col min="10" max="10" width="10.7109375" customWidth="1"/>
    <col min="11" max="11" width="17.5703125" customWidth="1"/>
    <col min="12" max="12" width="16.28515625" customWidth="1"/>
    <col min="13" max="13" width="29.28515625" customWidth="1"/>
    <col min="14" max="14" width="12" customWidth="1"/>
  </cols>
  <sheetData>
    <row r="1" spans="1:14" ht="98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K1" s="2" t="s">
        <v>13</v>
      </c>
      <c r="L1" s="2" t="s">
        <v>10</v>
      </c>
      <c r="M1" s="2" t="s">
        <v>11</v>
      </c>
      <c r="N1" s="2" t="s">
        <v>12</v>
      </c>
    </row>
    <row r="2" spans="1:14" x14ac:dyDescent="0.25">
      <c r="A2" s="3">
        <v>1</v>
      </c>
      <c r="B2" s="3">
        <v>10</v>
      </c>
      <c r="C2" s="3">
        <v>0.2</v>
      </c>
      <c r="D2" s="3">
        <v>50</v>
      </c>
      <c r="E2" s="3">
        <v>0.05</v>
      </c>
      <c r="F2" s="3">
        <v>25</v>
      </c>
      <c r="G2" s="3">
        <v>1.1200000000000001</v>
      </c>
      <c r="H2" s="3">
        <v>1.21</v>
      </c>
      <c r="I2" s="3">
        <f>(G2+H2)</f>
        <v>2.33</v>
      </c>
      <c r="J2" s="4">
        <v>6</v>
      </c>
      <c r="K2" s="3">
        <f>(0.017*I2)</f>
        <v>3.9610000000000006E-2</v>
      </c>
      <c r="L2" s="3">
        <f>560*K2/1000</f>
        <v>2.2181600000000003E-2</v>
      </c>
      <c r="M2" s="3">
        <f>(560*E2/1000)</f>
        <v>2.8000000000000001E-2</v>
      </c>
      <c r="N2" s="3">
        <f>(L2+M2)</f>
        <v>5.0181600000000007E-2</v>
      </c>
    </row>
    <row r="3" spans="1:14" x14ac:dyDescent="0.25">
      <c r="A3" s="3">
        <v>2</v>
      </c>
      <c r="B3" s="3">
        <v>30</v>
      </c>
      <c r="C3" s="3">
        <v>0.2</v>
      </c>
      <c r="D3" s="3">
        <v>50</v>
      </c>
      <c r="E3" s="3">
        <v>0.08</v>
      </c>
      <c r="F3" s="3">
        <v>32</v>
      </c>
      <c r="G3" s="3">
        <v>1.1299999999999999</v>
      </c>
      <c r="H3" s="3">
        <v>2.13</v>
      </c>
      <c r="I3" s="3">
        <f t="shared" ref="I3:I21" si="0">(G3+H3)</f>
        <v>3.26</v>
      </c>
      <c r="J3" s="4">
        <v>7</v>
      </c>
      <c r="K3" s="3">
        <f t="shared" ref="K3:K21" si="1">(0.017*I3)</f>
        <v>5.5419999999999997E-2</v>
      </c>
      <c r="L3" s="3">
        <f t="shared" ref="L3:L21" si="2">560*K3/1000</f>
        <v>3.1035199999999999E-2</v>
      </c>
      <c r="M3" s="3">
        <f t="shared" ref="M3:M21" si="3">(560*E3/1000)</f>
        <v>4.4800000000000006E-2</v>
      </c>
      <c r="N3" s="3">
        <f t="shared" ref="N3:N21" si="4">(L3+M3)</f>
        <v>7.5835200000000005E-2</v>
      </c>
    </row>
    <row r="4" spans="1:14" x14ac:dyDescent="0.25">
      <c r="A4" s="3">
        <v>3</v>
      </c>
      <c r="B4" s="3">
        <v>30</v>
      </c>
      <c r="C4" s="3">
        <v>0.2</v>
      </c>
      <c r="D4" s="3">
        <v>100</v>
      </c>
      <c r="E4" s="3">
        <v>0.2</v>
      </c>
      <c r="F4" s="3">
        <v>94</v>
      </c>
      <c r="G4" s="3">
        <v>8.42</v>
      </c>
      <c r="H4" s="3">
        <v>5.76</v>
      </c>
      <c r="I4" s="3">
        <f t="shared" si="0"/>
        <v>14.18</v>
      </c>
      <c r="J4" s="4">
        <v>7</v>
      </c>
      <c r="K4" s="3">
        <f t="shared" si="1"/>
        <v>0.24106000000000002</v>
      </c>
      <c r="L4" s="3">
        <f t="shared" si="2"/>
        <v>0.13499360000000002</v>
      </c>
      <c r="M4" s="3">
        <f t="shared" si="3"/>
        <v>0.112</v>
      </c>
      <c r="N4" s="3">
        <f t="shared" si="4"/>
        <v>0.24699360000000004</v>
      </c>
    </row>
    <row r="5" spans="1:14" x14ac:dyDescent="0.25">
      <c r="A5" s="3">
        <v>4</v>
      </c>
      <c r="B5" s="3">
        <v>30</v>
      </c>
      <c r="C5" s="3">
        <v>0.1</v>
      </c>
      <c r="D5" s="3">
        <v>50</v>
      </c>
      <c r="E5" s="3">
        <v>0.08</v>
      </c>
      <c r="F5" s="3">
        <v>32</v>
      </c>
      <c r="G5" s="3">
        <v>1.1299999999999999</v>
      </c>
      <c r="H5" s="3">
        <v>1.01</v>
      </c>
      <c r="I5" s="3">
        <f t="shared" si="0"/>
        <v>2.1399999999999997</v>
      </c>
      <c r="J5" s="4">
        <v>1</v>
      </c>
      <c r="K5" s="3">
        <f t="shared" si="1"/>
        <v>3.6379999999999996E-2</v>
      </c>
      <c r="L5" s="3">
        <f t="shared" si="2"/>
        <v>2.0372799999999996E-2</v>
      </c>
      <c r="M5" s="3">
        <f t="shared" si="3"/>
        <v>4.4800000000000006E-2</v>
      </c>
      <c r="N5" s="3">
        <f t="shared" si="4"/>
        <v>6.5172800000000003E-2</v>
      </c>
    </row>
    <row r="6" spans="1:14" x14ac:dyDescent="0.25">
      <c r="A6" s="3">
        <v>5</v>
      </c>
      <c r="B6" s="3">
        <v>10</v>
      </c>
      <c r="C6" s="3">
        <v>0.1</v>
      </c>
      <c r="D6" s="3">
        <v>100</v>
      </c>
      <c r="E6" s="3">
        <v>0.32</v>
      </c>
      <c r="F6" s="3">
        <v>135</v>
      </c>
      <c r="G6" s="3">
        <v>7.83</v>
      </c>
      <c r="H6" s="3">
        <v>4.24</v>
      </c>
      <c r="I6" s="3">
        <f t="shared" si="0"/>
        <v>12.07</v>
      </c>
      <c r="J6" s="4">
        <v>6</v>
      </c>
      <c r="K6" s="3">
        <f t="shared" si="1"/>
        <v>0.20519000000000001</v>
      </c>
      <c r="L6" s="3">
        <f t="shared" si="2"/>
        <v>0.11490640000000001</v>
      </c>
      <c r="M6" s="3">
        <f t="shared" si="3"/>
        <v>0.17920000000000003</v>
      </c>
      <c r="N6" s="3">
        <f t="shared" si="4"/>
        <v>0.29410640000000005</v>
      </c>
    </row>
    <row r="7" spans="1:14" x14ac:dyDescent="0.25">
      <c r="A7" s="3">
        <v>6</v>
      </c>
      <c r="B7" s="3">
        <v>20</v>
      </c>
      <c r="C7" s="3">
        <v>0.15000000000000002</v>
      </c>
      <c r="D7" s="3">
        <v>75</v>
      </c>
      <c r="E7" s="3">
        <v>0.13</v>
      </c>
      <c r="F7" s="3">
        <v>60</v>
      </c>
      <c r="G7" s="3">
        <v>3.69</v>
      </c>
      <c r="H7" s="3">
        <v>2.65</v>
      </c>
      <c r="I7" s="3">
        <f t="shared" si="0"/>
        <v>6.34</v>
      </c>
      <c r="J7" s="4">
        <v>7</v>
      </c>
      <c r="K7" s="3">
        <f t="shared" si="1"/>
        <v>0.10778</v>
      </c>
      <c r="L7" s="3">
        <f t="shared" si="2"/>
        <v>6.0356800000000002E-2</v>
      </c>
      <c r="M7" s="3">
        <f t="shared" si="3"/>
        <v>7.2800000000000004E-2</v>
      </c>
      <c r="N7" s="3">
        <f t="shared" si="4"/>
        <v>0.13315680000000002</v>
      </c>
    </row>
    <row r="8" spans="1:14" x14ac:dyDescent="0.25">
      <c r="A8" s="3">
        <v>7</v>
      </c>
      <c r="B8" s="3">
        <v>20</v>
      </c>
      <c r="C8" s="3">
        <v>0.15000000000000002</v>
      </c>
      <c r="D8" s="3">
        <v>75</v>
      </c>
      <c r="E8" s="3">
        <v>0.13</v>
      </c>
      <c r="F8" s="3">
        <v>60</v>
      </c>
      <c r="G8" s="3">
        <v>3.69</v>
      </c>
      <c r="H8" s="3">
        <v>2.65</v>
      </c>
      <c r="I8" s="3">
        <f t="shared" si="0"/>
        <v>6.34</v>
      </c>
      <c r="J8" s="4">
        <v>7</v>
      </c>
      <c r="K8" s="3">
        <f t="shared" si="1"/>
        <v>0.10778</v>
      </c>
      <c r="L8" s="3">
        <f t="shared" si="2"/>
        <v>6.0356800000000002E-2</v>
      </c>
      <c r="M8" s="3">
        <f t="shared" si="3"/>
        <v>7.2800000000000004E-2</v>
      </c>
      <c r="N8" s="3">
        <f t="shared" si="4"/>
        <v>0.13315680000000002</v>
      </c>
    </row>
    <row r="9" spans="1:14" x14ac:dyDescent="0.25">
      <c r="A9" s="3">
        <v>8</v>
      </c>
      <c r="B9" s="3">
        <v>20</v>
      </c>
      <c r="C9" s="3">
        <v>0.15000000000000002</v>
      </c>
      <c r="D9" s="3">
        <v>75</v>
      </c>
      <c r="E9" s="3">
        <v>0.13</v>
      </c>
      <c r="F9" s="3">
        <v>60</v>
      </c>
      <c r="G9" s="3">
        <v>3.69</v>
      </c>
      <c r="H9" s="3">
        <v>2.65</v>
      </c>
      <c r="I9" s="3">
        <f t="shared" si="0"/>
        <v>6.34</v>
      </c>
      <c r="J9" s="4">
        <v>7</v>
      </c>
      <c r="K9" s="3">
        <f t="shared" si="1"/>
        <v>0.10778</v>
      </c>
      <c r="L9" s="3">
        <f t="shared" si="2"/>
        <v>6.0356800000000002E-2</v>
      </c>
      <c r="M9" s="3">
        <f t="shared" si="3"/>
        <v>7.2800000000000004E-2</v>
      </c>
      <c r="N9" s="3">
        <f t="shared" si="4"/>
        <v>0.13315680000000002</v>
      </c>
    </row>
    <row r="10" spans="1:14" x14ac:dyDescent="0.25">
      <c r="A10" s="3">
        <v>9</v>
      </c>
      <c r="B10" s="3">
        <v>10</v>
      </c>
      <c r="C10" s="3">
        <v>0.2</v>
      </c>
      <c r="D10" s="3">
        <v>100</v>
      </c>
      <c r="E10" s="3">
        <v>0.19</v>
      </c>
      <c r="F10" s="3">
        <v>94</v>
      </c>
      <c r="G10" s="3">
        <v>8.35</v>
      </c>
      <c r="H10" s="3">
        <v>5.76</v>
      </c>
      <c r="I10" s="3">
        <f t="shared" si="0"/>
        <v>14.11</v>
      </c>
      <c r="J10" s="4">
        <v>6</v>
      </c>
      <c r="K10" s="3">
        <f t="shared" si="1"/>
        <v>0.23987</v>
      </c>
      <c r="L10" s="3">
        <f t="shared" si="2"/>
        <v>0.13432720000000001</v>
      </c>
      <c r="M10" s="3">
        <f t="shared" si="3"/>
        <v>0.10640000000000001</v>
      </c>
      <c r="N10" s="3">
        <f t="shared" si="4"/>
        <v>0.24072720000000003</v>
      </c>
    </row>
    <row r="11" spans="1:14" x14ac:dyDescent="0.25">
      <c r="A11" s="3">
        <v>10</v>
      </c>
      <c r="B11" s="3">
        <v>20</v>
      </c>
      <c r="C11" s="3">
        <v>0.15000000000000002</v>
      </c>
      <c r="D11" s="3">
        <v>75</v>
      </c>
      <c r="E11" s="3">
        <v>0.21</v>
      </c>
      <c r="F11" s="3">
        <v>70</v>
      </c>
      <c r="G11" s="3">
        <v>3.67</v>
      </c>
      <c r="H11" s="3">
        <v>2.2000000000000002</v>
      </c>
      <c r="I11" s="3">
        <f t="shared" si="0"/>
        <v>5.87</v>
      </c>
      <c r="J11" s="4">
        <v>5</v>
      </c>
      <c r="K11" s="3">
        <f t="shared" si="1"/>
        <v>9.9790000000000004E-2</v>
      </c>
      <c r="L11" s="3">
        <f t="shared" si="2"/>
        <v>5.5882400000000006E-2</v>
      </c>
      <c r="M11" s="3">
        <f t="shared" si="3"/>
        <v>0.1176</v>
      </c>
      <c r="N11" s="3">
        <f t="shared" si="4"/>
        <v>0.17348240000000001</v>
      </c>
    </row>
    <row r="12" spans="1:14" x14ac:dyDescent="0.25">
      <c r="A12" s="3">
        <v>11</v>
      </c>
      <c r="B12" s="3">
        <v>10</v>
      </c>
      <c r="C12" s="3">
        <v>0.1</v>
      </c>
      <c r="D12" s="3">
        <v>50</v>
      </c>
      <c r="E12" s="3">
        <v>7.0000000000000007E-2</v>
      </c>
      <c r="F12" s="3">
        <v>32</v>
      </c>
      <c r="G12" s="3">
        <v>1.1299999999999999</v>
      </c>
      <c r="H12" s="3">
        <v>1.01</v>
      </c>
      <c r="I12" s="3">
        <f t="shared" si="0"/>
        <v>2.1399999999999997</v>
      </c>
      <c r="J12" s="4">
        <v>6</v>
      </c>
      <c r="K12" s="3">
        <f t="shared" si="1"/>
        <v>3.6379999999999996E-2</v>
      </c>
      <c r="L12" s="3">
        <f t="shared" si="2"/>
        <v>2.0372799999999996E-2</v>
      </c>
      <c r="M12" s="3">
        <f t="shared" si="3"/>
        <v>3.9200000000000006E-2</v>
      </c>
      <c r="N12" s="3">
        <f t="shared" si="4"/>
        <v>5.9572800000000002E-2</v>
      </c>
    </row>
    <row r="13" spans="1:14" x14ac:dyDescent="0.25">
      <c r="A13" s="3">
        <v>12</v>
      </c>
      <c r="B13" s="3">
        <v>30</v>
      </c>
      <c r="C13" s="3">
        <v>0.1</v>
      </c>
      <c r="D13" s="3">
        <v>100</v>
      </c>
      <c r="E13" s="3">
        <v>0.26</v>
      </c>
      <c r="F13" s="3">
        <v>138</v>
      </c>
      <c r="G13" s="3">
        <v>8.01</v>
      </c>
      <c r="H13" s="3">
        <v>4.2300000000000004</v>
      </c>
      <c r="I13" s="3">
        <f t="shared" si="0"/>
        <v>12.24</v>
      </c>
      <c r="J13" s="4">
        <v>7</v>
      </c>
      <c r="K13" s="3">
        <f t="shared" si="1"/>
        <v>0.20808000000000001</v>
      </c>
      <c r="L13" s="3">
        <f t="shared" si="2"/>
        <v>0.11652480000000001</v>
      </c>
      <c r="M13" s="3">
        <f t="shared" si="3"/>
        <v>0.14560000000000001</v>
      </c>
      <c r="N13" s="3">
        <f t="shared" si="4"/>
        <v>0.26212480000000005</v>
      </c>
    </row>
    <row r="14" spans="1:14" x14ac:dyDescent="0.25">
      <c r="A14" s="3">
        <v>13</v>
      </c>
      <c r="B14" s="3">
        <v>10</v>
      </c>
      <c r="C14" s="3">
        <v>0.15000000000000002</v>
      </c>
      <c r="D14" s="3">
        <v>75</v>
      </c>
      <c r="E14" s="3">
        <v>0.13</v>
      </c>
      <c r="F14" s="3">
        <v>60</v>
      </c>
      <c r="G14" s="3">
        <v>3.69</v>
      </c>
      <c r="H14" s="3">
        <v>2.65</v>
      </c>
      <c r="I14" s="3">
        <f t="shared" si="0"/>
        <v>6.34</v>
      </c>
      <c r="J14" s="4">
        <v>7</v>
      </c>
      <c r="K14" s="3">
        <f t="shared" si="1"/>
        <v>0.10778</v>
      </c>
      <c r="L14" s="3">
        <f t="shared" si="2"/>
        <v>6.0356800000000002E-2</v>
      </c>
      <c r="M14" s="3">
        <f t="shared" si="3"/>
        <v>7.2800000000000004E-2</v>
      </c>
      <c r="N14" s="3">
        <f t="shared" si="4"/>
        <v>0.13315680000000002</v>
      </c>
    </row>
    <row r="15" spans="1:14" x14ac:dyDescent="0.25">
      <c r="A15" s="3">
        <v>14</v>
      </c>
      <c r="B15" s="3">
        <v>20</v>
      </c>
      <c r="C15" s="3">
        <v>0.15000000000000002</v>
      </c>
      <c r="D15" s="3">
        <v>100</v>
      </c>
      <c r="E15" s="3">
        <v>0.23</v>
      </c>
      <c r="F15" s="3">
        <v>111</v>
      </c>
      <c r="G15" s="3">
        <v>8.42</v>
      </c>
      <c r="H15" s="3">
        <v>5.03</v>
      </c>
      <c r="I15" s="3">
        <f t="shared" si="0"/>
        <v>13.45</v>
      </c>
      <c r="J15" s="4">
        <v>6</v>
      </c>
      <c r="K15" s="3">
        <f t="shared" si="1"/>
        <v>0.22864999999999999</v>
      </c>
      <c r="L15" s="3">
        <f t="shared" si="2"/>
        <v>0.12804399999999999</v>
      </c>
      <c r="M15" s="3">
        <f t="shared" si="3"/>
        <v>0.1288</v>
      </c>
      <c r="N15" s="3">
        <f t="shared" si="4"/>
        <v>0.25684399999999996</v>
      </c>
    </row>
    <row r="16" spans="1:14" x14ac:dyDescent="0.25">
      <c r="A16" s="3">
        <v>15</v>
      </c>
      <c r="B16" s="3">
        <v>20</v>
      </c>
      <c r="C16" s="3">
        <v>0.15000000000000002</v>
      </c>
      <c r="D16" s="3">
        <v>75</v>
      </c>
      <c r="E16" s="3">
        <v>0.21</v>
      </c>
      <c r="F16" s="3">
        <v>70</v>
      </c>
      <c r="G16" s="3">
        <v>3.67</v>
      </c>
      <c r="H16" s="3">
        <v>2.2000000000000002</v>
      </c>
      <c r="I16" s="3">
        <f t="shared" si="0"/>
        <v>5.87</v>
      </c>
      <c r="J16" s="4">
        <v>6</v>
      </c>
      <c r="K16" s="3">
        <f t="shared" si="1"/>
        <v>9.9790000000000004E-2</v>
      </c>
      <c r="L16" s="3">
        <f t="shared" si="2"/>
        <v>5.5882400000000006E-2</v>
      </c>
      <c r="M16" s="3">
        <f t="shared" si="3"/>
        <v>0.1176</v>
      </c>
      <c r="N16" s="3">
        <f t="shared" si="4"/>
        <v>0.17348240000000001</v>
      </c>
    </row>
    <row r="17" spans="1:14" x14ac:dyDescent="0.25">
      <c r="A17" s="3">
        <v>16</v>
      </c>
      <c r="B17" s="3">
        <v>20</v>
      </c>
      <c r="C17" s="3">
        <v>0.1</v>
      </c>
      <c r="D17" s="3">
        <v>75</v>
      </c>
      <c r="E17" s="3">
        <v>0.15</v>
      </c>
      <c r="F17" s="3">
        <v>71</v>
      </c>
      <c r="G17" s="3">
        <v>3.67</v>
      </c>
      <c r="H17" s="3">
        <v>2.2200000000000002</v>
      </c>
      <c r="I17" s="3">
        <f t="shared" si="0"/>
        <v>5.8900000000000006</v>
      </c>
      <c r="J17" s="4">
        <v>7</v>
      </c>
      <c r="K17" s="3">
        <f t="shared" si="1"/>
        <v>0.10013000000000001</v>
      </c>
      <c r="L17" s="3">
        <f t="shared" si="2"/>
        <v>5.6072800000000006E-2</v>
      </c>
      <c r="M17" s="3">
        <f t="shared" si="3"/>
        <v>8.4000000000000005E-2</v>
      </c>
      <c r="N17" s="3">
        <f t="shared" si="4"/>
        <v>0.1400728</v>
      </c>
    </row>
    <row r="18" spans="1:14" x14ac:dyDescent="0.25">
      <c r="A18" s="3">
        <v>17</v>
      </c>
      <c r="B18" s="3">
        <v>20</v>
      </c>
      <c r="C18" s="3">
        <v>0.2</v>
      </c>
      <c r="D18" s="3">
        <v>75</v>
      </c>
      <c r="E18" s="3">
        <v>0.11</v>
      </c>
      <c r="F18" s="3">
        <v>50</v>
      </c>
      <c r="G18" s="3">
        <v>3.68</v>
      </c>
      <c r="H18" s="3">
        <v>2.95</v>
      </c>
      <c r="I18" s="3">
        <f t="shared" si="0"/>
        <v>6.6300000000000008</v>
      </c>
      <c r="J18" s="4">
        <v>6</v>
      </c>
      <c r="K18" s="3">
        <f t="shared" si="1"/>
        <v>0.11271000000000002</v>
      </c>
      <c r="L18" s="3">
        <f t="shared" si="2"/>
        <v>6.311760000000001E-2</v>
      </c>
      <c r="M18" s="3">
        <f t="shared" si="3"/>
        <v>6.1600000000000002E-2</v>
      </c>
      <c r="N18" s="3">
        <f t="shared" si="4"/>
        <v>0.12471760000000001</v>
      </c>
    </row>
    <row r="19" spans="1:14" x14ac:dyDescent="0.25">
      <c r="A19" s="3">
        <v>18</v>
      </c>
      <c r="B19" s="3">
        <v>30</v>
      </c>
      <c r="C19" s="3">
        <v>0.15000000000000002</v>
      </c>
      <c r="D19" s="3">
        <v>75</v>
      </c>
      <c r="E19" s="3">
        <v>0.13</v>
      </c>
      <c r="F19" s="3">
        <v>60</v>
      </c>
      <c r="G19" s="3">
        <v>3.69</v>
      </c>
      <c r="H19" s="3">
        <v>2.65</v>
      </c>
      <c r="I19" s="3">
        <f t="shared" si="0"/>
        <v>6.34</v>
      </c>
      <c r="J19" s="4">
        <v>5</v>
      </c>
      <c r="K19" s="3">
        <f t="shared" si="1"/>
        <v>0.10778</v>
      </c>
      <c r="L19" s="3">
        <f t="shared" si="2"/>
        <v>6.0356800000000002E-2</v>
      </c>
      <c r="M19" s="3">
        <f t="shared" si="3"/>
        <v>7.2800000000000004E-2</v>
      </c>
      <c r="N19" s="3">
        <f t="shared" si="4"/>
        <v>0.13315680000000002</v>
      </c>
    </row>
    <row r="20" spans="1:14" x14ac:dyDescent="0.25">
      <c r="A20" s="3">
        <v>19</v>
      </c>
      <c r="B20" s="3">
        <v>20</v>
      </c>
      <c r="C20" s="3">
        <v>0.15000000000000002</v>
      </c>
      <c r="D20" s="3">
        <v>75</v>
      </c>
      <c r="E20" s="3">
        <v>0.21</v>
      </c>
      <c r="F20" s="3">
        <v>70</v>
      </c>
      <c r="G20" s="3">
        <v>3.67</v>
      </c>
      <c r="H20" s="3">
        <v>2.2000000000000002</v>
      </c>
      <c r="I20" s="3">
        <f t="shared" si="0"/>
        <v>5.87</v>
      </c>
      <c r="J20" s="4">
        <v>2</v>
      </c>
      <c r="K20" s="3">
        <f t="shared" si="1"/>
        <v>9.9790000000000004E-2</v>
      </c>
      <c r="L20" s="3">
        <f t="shared" si="2"/>
        <v>5.5882400000000006E-2</v>
      </c>
      <c r="M20" s="3">
        <f t="shared" si="3"/>
        <v>0.1176</v>
      </c>
      <c r="N20" s="3">
        <f t="shared" si="4"/>
        <v>0.17348240000000001</v>
      </c>
    </row>
    <row r="21" spans="1:14" x14ac:dyDescent="0.25">
      <c r="A21" s="3">
        <v>20</v>
      </c>
      <c r="B21" s="3">
        <v>20</v>
      </c>
      <c r="C21" s="3">
        <v>0.15000000000000002</v>
      </c>
      <c r="D21" s="3">
        <v>50</v>
      </c>
      <c r="E21" s="3">
        <v>7.0000000000000007E-2</v>
      </c>
      <c r="F21" s="3">
        <v>30</v>
      </c>
      <c r="G21" s="3">
        <v>1.1399999999999999</v>
      </c>
      <c r="H21" s="3">
        <v>1.08</v>
      </c>
      <c r="I21" s="3">
        <f t="shared" si="0"/>
        <v>2.2199999999999998</v>
      </c>
      <c r="J21" s="4">
        <v>2</v>
      </c>
      <c r="K21" s="3">
        <f t="shared" si="1"/>
        <v>3.7739999999999996E-2</v>
      </c>
      <c r="L21" s="3">
        <f t="shared" si="2"/>
        <v>2.1134400000000001E-2</v>
      </c>
      <c r="M21" s="3">
        <f t="shared" si="3"/>
        <v>3.9200000000000006E-2</v>
      </c>
      <c r="N21" s="3">
        <f t="shared" si="4"/>
        <v>6.033440000000001E-2</v>
      </c>
    </row>
  </sheetData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KUMAR</dc:creator>
  <cp:lastModifiedBy>RISHI KUMAR</cp:lastModifiedBy>
  <dcterms:created xsi:type="dcterms:W3CDTF">2019-12-03T04:21:09Z</dcterms:created>
  <dcterms:modified xsi:type="dcterms:W3CDTF">2019-12-04T13:01:35Z</dcterms:modified>
</cp:coreProperties>
</file>